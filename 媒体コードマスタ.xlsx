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-marika.a.kitahara\Desktop\python用\【Py】後方数値データ分析デスクトップ版\"/>
    </mc:Choice>
  </mc:AlternateContent>
  <xr:revisionPtr revIDLastSave="0" documentId="13_ncr:1_{0EB77ACC-2A62-4C8E-8EBD-C0AA5610F633}" xr6:coauthVersionLast="47" xr6:coauthVersionMax="47" xr10:uidLastSave="{00000000-0000-0000-0000-000000000000}"/>
  <bookViews>
    <workbookView xWindow="-108" yWindow="-108" windowWidth="23256" windowHeight="13896" xr2:uid="{D062F9A2-5310-406C-9C19-41F07FCA6DF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 a="1"/>
  <c r="F45" i="1" s="1"/>
  <c r="F3" i="1" a="1"/>
  <c r="F3" i="1"/>
  <c r="F4" i="1" a="1"/>
  <c r="F4" i="1"/>
  <c r="F5" i="1" a="1"/>
  <c r="F5" i="1" s="1"/>
  <c r="F6" i="1" a="1"/>
  <c r="F6" i="1" s="1"/>
  <c r="F7" i="1" a="1"/>
  <c r="F7" i="1" s="1"/>
  <c r="F8" i="1" a="1"/>
  <c r="F8" i="1"/>
  <c r="F9" i="1" a="1"/>
  <c r="F9" i="1"/>
  <c r="F10" i="1" a="1"/>
  <c r="F10" i="1"/>
  <c r="F11" i="1" a="1"/>
  <c r="F11" i="1"/>
  <c r="F12" i="1" a="1"/>
  <c r="F12" i="1" s="1"/>
  <c r="F13" i="1" a="1"/>
  <c r="F13" i="1" s="1"/>
  <c r="F14" i="1" a="1"/>
  <c r="F14" i="1"/>
  <c r="F15" i="1" a="1"/>
  <c r="F15" i="1"/>
  <c r="F16" i="1" a="1"/>
  <c r="F16" i="1"/>
  <c r="F17" i="1" a="1"/>
  <c r="F17" i="1"/>
  <c r="F18" i="1" a="1"/>
  <c r="F18" i="1" s="1"/>
  <c r="F19" i="1" a="1"/>
  <c r="F19" i="1" s="1"/>
  <c r="F20" i="1" a="1"/>
  <c r="F20" i="1"/>
  <c r="F21" i="1" a="1"/>
  <c r="F21" i="1"/>
  <c r="F22" i="1" a="1"/>
  <c r="F22" i="1"/>
  <c r="F23" i="1" a="1"/>
  <c r="F23" i="1" s="1"/>
  <c r="F24" i="1" a="1"/>
  <c r="F24" i="1" s="1"/>
  <c r="F25" i="1" a="1"/>
  <c r="F25" i="1" s="1"/>
  <c r="F26" i="1" a="1"/>
  <c r="F26" i="1"/>
  <c r="F27" i="1" a="1"/>
  <c r="F27" i="1"/>
  <c r="F28" i="1" a="1"/>
  <c r="F28" i="1"/>
  <c r="F29" i="1" a="1"/>
  <c r="F29" i="1" s="1"/>
  <c r="F30" i="1" a="1"/>
  <c r="F30" i="1" s="1"/>
  <c r="F31" i="1" a="1"/>
  <c r="F31" i="1" s="1"/>
  <c r="F32" i="1" a="1"/>
  <c r="F32" i="1"/>
  <c r="F33" i="1" a="1"/>
  <c r="F33" i="1"/>
  <c r="F34" i="1" a="1"/>
  <c r="F34" i="1" s="1"/>
  <c r="F35" i="1" a="1"/>
  <c r="F35" i="1" s="1"/>
  <c r="F36" i="1" a="1"/>
  <c r="F36" i="1" s="1"/>
  <c r="F37" i="1" a="1"/>
  <c r="F37" i="1" s="1"/>
  <c r="F38" i="1" a="1"/>
  <c r="F38" i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<sst xmlns="http://schemas.openxmlformats.org/spreadsheetml/2006/main" count="519" uniqueCount="403">
  <si>
    <t>会社名</t>
    <rPh sb="0" eb="3">
      <t>カイシャメイ</t>
    </rPh>
    <phoneticPr fontId="4"/>
  </si>
  <si>
    <t>5月</t>
    <rPh sb="1" eb="2">
      <t>ガツ</t>
    </rPh>
    <phoneticPr fontId="4"/>
  </si>
  <si>
    <t>8月</t>
    <rPh sb="1" eb="2">
      <t>ガツ</t>
    </rPh>
    <phoneticPr fontId="4"/>
  </si>
  <si>
    <t>11月</t>
    <rPh sb="2" eb="3">
      <t>ガツ</t>
    </rPh>
    <phoneticPr fontId="4"/>
  </si>
  <si>
    <t>カテゴリ</t>
    <phoneticPr fontId="4"/>
  </si>
  <si>
    <t>sgpzs</t>
  </si>
  <si>
    <t>si4hs</t>
  </si>
  <si>
    <t>sxp1c</t>
  </si>
  <si>
    <t>価格com</t>
    <rPh sb="0" eb="2">
      <t>カカク</t>
    </rPh>
    <phoneticPr fontId="4"/>
  </si>
  <si>
    <t>sg7gu</t>
  </si>
  <si>
    <t>sgldc</t>
  </si>
  <si>
    <t>sgp3a</t>
  </si>
  <si>
    <t>比較</t>
  </si>
  <si>
    <t>sg7in</t>
  </si>
  <si>
    <t>sgler</t>
  </si>
  <si>
    <t>sgpc3</t>
  </si>
  <si>
    <t>sg7j6</t>
  </si>
  <si>
    <t>sgl59</t>
  </si>
  <si>
    <t>sgpzr</t>
  </si>
  <si>
    <t>sg7ux</t>
  </si>
  <si>
    <t>sgltt</t>
  </si>
  <si>
    <t>sgptw</t>
  </si>
  <si>
    <t>sg7g8</t>
  </si>
  <si>
    <t>sglrb</t>
  </si>
  <si>
    <t>sgpfc</t>
  </si>
  <si>
    <t>sg7sc</t>
  </si>
  <si>
    <t>sglu5</t>
  </si>
  <si>
    <t>sgprv</t>
  </si>
  <si>
    <t>sg7qx</t>
  </si>
  <si>
    <t>sglr0</t>
  </si>
  <si>
    <t>sgptp</t>
  </si>
  <si>
    <t>E-LOAN</t>
  </si>
  <si>
    <t>sg78t</t>
  </si>
  <si>
    <t>sgl0r</t>
  </si>
  <si>
    <t>sgphm</t>
  </si>
  <si>
    <t>sg7th</t>
  </si>
  <si>
    <t>sgldm</t>
  </si>
  <si>
    <t>sgpw3</t>
  </si>
  <si>
    <t>dジョブスマホワーク</t>
  </si>
  <si>
    <t>sg71i</t>
  </si>
  <si>
    <t>sgl1h</t>
  </si>
  <si>
    <t>sgp3q</t>
  </si>
  <si>
    <t>sg704</t>
  </si>
  <si>
    <t>sgl6e</t>
  </si>
  <si>
    <t>sgppd</t>
  </si>
  <si>
    <t>CANVAS</t>
  </si>
  <si>
    <t>sg7ke</t>
  </si>
  <si>
    <t>sgl78</t>
  </si>
  <si>
    <t>sgpjr</t>
  </si>
  <si>
    <t>sg7g3</t>
  </si>
  <si>
    <t>sglpq</t>
  </si>
  <si>
    <t>sgppr</t>
  </si>
  <si>
    <t>マイベスト</t>
  </si>
  <si>
    <t>sglo0</t>
  </si>
  <si>
    <t>sgpkn</t>
  </si>
  <si>
    <t>ライブドア</t>
  </si>
  <si>
    <t>sgl24</t>
  </si>
  <si>
    <t>sgp6m</t>
  </si>
  <si>
    <t>ダイヤモンド社</t>
    <rPh sb="6" eb="7">
      <t>シャ</t>
    </rPh>
    <phoneticPr fontId="1"/>
  </si>
  <si>
    <t>sgl9x</t>
  </si>
  <si>
    <t>sgp64</t>
  </si>
  <si>
    <t>R&amp;C　MAGAZINE</t>
  </si>
  <si>
    <t>sglt6</t>
  </si>
  <si>
    <t>sgpqi</t>
  </si>
  <si>
    <t>アドバイザーナビのカードローンメディア</t>
  </si>
  <si>
    <t>sgl4y</t>
  </si>
  <si>
    <t>sgpug</t>
  </si>
  <si>
    <t>Finacial Life</t>
  </si>
  <si>
    <t>sgl4k</t>
  </si>
  <si>
    <t>sgptd</t>
  </si>
  <si>
    <t>キャッシングライブラリー</t>
  </si>
  <si>
    <t>sgle4</t>
  </si>
  <si>
    <t>sgp49</t>
  </si>
  <si>
    <t>NET MONEY</t>
  </si>
  <si>
    <t>sgl65</t>
  </si>
  <si>
    <t>sgpmo</t>
  </si>
  <si>
    <t>W-ENDLESS</t>
  </si>
  <si>
    <t>sgl3b</t>
  </si>
  <si>
    <t>sgpg4</t>
  </si>
  <si>
    <t>キャッシン比較ランキング</t>
    <rPh sb="5" eb="7">
      <t>ヒカク</t>
    </rPh>
    <phoneticPr fontId="1"/>
  </si>
  <si>
    <t>sgl3n</t>
  </si>
  <si>
    <t>sgphp</t>
  </si>
  <si>
    <t>next</t>
  </si>
  <si>
    <t>sgld1</t>
  </si>
  <si>
    <t>sgpi0</t>
  </si>
  <si>
    <t>dメニューマネー</t>
  </si>
  <si>
    <t>sglr4</t>
  </si>
  <si>
    <t>sgp7n</t>
  </si>
  <si>
    <t>キャッシンプラザ</t>
  </si>
  <si>
    <t>sgl5d</t>
  </si>
  <si>
    <t>sgp6e</t>
  </si>
  <si>
    <t>暮らしのぜんぶ</t>
    <rPh sb="0" eb="1">
      <t>ク</t>
    </rPh>
    <phoneticPr fontId="1"/>
  </si>
  <si>
    <t>sgl69</t>
  </si>
  <si>
    <t>sgpv1</t>
  </si>
  <si>
    <t>ポイント</t>
  </si>
  <si>
    <t>sglxt</t>
  </si>
  <si>
    <t>sglao</t>
  </si>
  <si>
    <t>Yahoo!ファイナンス</t>
  </si>
  <si>
    <t>sglpi</t>
  </si>
  <si>
    <t>sgpwg</t>
  </si>
  <si>
    <t>モッピー（PC）　定額</t>
  </si>
  <si>
    <t>sg7w5</t>
  </si>
  <si>
    <t>sglfj</t>
  </si>
  <si>
    <t>sgpdg</t>
  </si>
  <si>
    <t>（SP）ECナビ【毎日貯まるポイントサイト】</t>
  </si>
  <si>
    <t>sg7i3</t>
  </si>
  <si>
    <t>sglf4</t>
  </si>
  <si>
    <t>sgp0q</t>
  </si>
  <si>
    <t>ポイントインカム</t>
  </si>
  <si>
    <t>sg7nr</t>
  </si>
  <si>
    <t>sgl3m</t>
  </si>
  <si>
    <t>sgphn</t>
  </si>
  <si>
    <t>PC・スマートフォン版ハピタス</t>
  </si>
  <si>
    <t>sg77v</t>
  </si>
  <si>
    <t>sglcq</t>
  </si>
  <si>
    <t>sgp4q</t>
  </si>
  <si>
    <t>SKYFLAG</t>
  </si>
  <si>
    <t>sg706</t>
  </si>
  <si>
    <t>sgl56</t>
  </si>
  <si>
    <t>sgp6r</t>
  </si>
  <si>
    <t>クラシルリワード</t>
  </si>
  <si>
    <t>sg76q</t>
  </si>
  <si>
    <t>sglst</t>
  </si>
  <si>
    <t>sgpx9</t>
  </si>
  <si>
    <t>ポイントタウン</t>
  </si>
  <si>
    <t>sglq0</t>
  </si>
  <si>
    <t>sglwk</t>
  </si>
  <si>
    <t>sgp1w</t>
  </si>
  <si>
    <t>ちょびリッチ</t>
  </si>
  <si>
    <t>sgpp1</t>
  </si>
  <si>
    <t>A8</t>
  </si>
  <si>
    <t>sgl5b</t>
  </si>
  <si>
    <t>sgpg9</t>
  </si>
  <si>
    <t>PLUG</t>
  </si>
  <si>
    <t>sglpp</t>
  </si>
  <si>
    <t>sgpdb</t>
  </si>
  <si>
    <t>トリマ</t>
  </si>
  <si>
    <t>sglj7</t>
  </si>
  <si>
    <t>sgp5e</t>
  </si>
  <si>
    <t>Appdriver</t>
  </si>
  <si>
    <t>sglrn</t>
  </si>
  <si>
    <t>-</t>
  </si>
  <si>
    <t>げん玉〔GENDAMA.JP〕</t>
  </si>
  <si>
    <t>sgly5</t>
  </si>
  <si>
    <t>sgpg5</t>
  </si>
  <si>
    <t>POWL</t>
  </si>
  <si>
    <t>sglwm</t>
  </si>
  <si>
    <t>sgpvc</t>
  </si>
  <si>
    <t>カカクコム</t>
    <phoneticPr fontId="3"/>
  </si>
  <si>
    <t>VALUE FIRST</t>
  </si>
  <si>
    <t>プラスワン</t>
  </si>
  <si>
    <t>がじゅまる</t>
  </si>
  <si>
    <t>Anc(税理士法人エール)</t>
  </si>
  <si>
    <t>サザンダイア</t>
  </si>
  <si>
    <t>Union</t>
  </si>
  <si>
    <t>グリットウェブ</t>
  </si>
  <si>
    <t>ジャストイット</t>
  </si>
  <si>
    <t>エイトツリー</t>
  </si>
  <si>
    <t>NDPマーケティング</t>
  </si>
  <si>
    <t>エイチームライフデザイン</t>
  </si>
  <si>
    <t>sg7v4</t>
  </si>
  <si>
    <t>sg70v</t>
  </si>
  <si>
    <t>sg7r1</t>
  </si>
  <si>
    <t>sg7af</t>
  </si>
  <si>
    <t>sg71k</t>
  </si>
  <si>
    <t>sg7pb</t>
  </si>
  <si>
    <t>sg7u4</t>
  </si>
  <si>
    <t>sg7om</t>
  </si>
  <si>
    <t>sg7o8</t>
  </si>
  <si>
    <t>sg7g7</t>
  </si>
  <si>
    <t>sg796</t>
  </si>
  <si>
    <t>sg73q</t>
  </si>
  <si>
    <t>sg7xd</t>
  </si>
  <si>
    <t>sg7w9</t>
  </si>
  <si>
    <t>sg7dy</t>
  </si>
  <si>
    <t>sg797</t>
  </si>
  <si>
    <t>sg7po</t>
  </si>
  <si>
    <t>sg782</t>
  </si>
  <si>
    <t>sg71v</t>
  </si>
  <si>
    <t>sg7q2</t>
  </si>
  <si>
    <t>sg7vv</t>
  </si>
  <si>
    <t>sg7qc</t>
  </si>
  <si>
    <t>sg7p2</t>
  </si>
  <si>
    <t>sg7rf</t>
  </si>
  <si>
    <t>sg7ab</t>
  </si>
  <si>
    <t>sg75v</t>
  </si>
  <si>
    <t>sg77r</t>
  </si>
  <si>
    <t>sg7pg</t>
  </si>
  <si>
    <t>sg75z</t>
  </si>
  <si>
    <t>sg7qb</t>
  </si>
  <si>
    <t>sg7c1</t>
  </si>
  <si>
    <t>sg7n2</t>
  </si>
  <si>
    <t>sg7of</t>
  </si>
  <si>
    <t>sg7sd</t>
  </si>
  <si>
    <t>sg7r7</t>
  </si>
  <si>
    <t>sg72y</t>
  </si>
  <si>
    <t>sg7e6</t>
  </si>
  <si>
    <t>sg74e</t>
  </si>
  <si>
    <t>sg7a1</t>
  </si>
  <si>
    <t>sg7d6</t>
  </si>
  <si>
    <t>sg7g9</t>
  </si>
  <si>
    <t>sg792</t>
  </si>
  <si>
    <t>sg7yo</t>
  </si>
  <si>
    <t>sg7ox</t>
  </si>
  <si>
    <t>sg7jb</t>
  </si>
  <si>
    <t>sg7mm</t>
  </si>
  <si>
    <t>sg7ef</t>
  </si>
  <si>
    <t>sg7fw</t>
  </si>
  <si>
    <t>sg7t6</t>
  </si>
  <si>
    <t>予備（利息はどのくらい？プッシュ）</t>
  </si>
  <si>
    <t>予備（カード引き落としプッシュ）</t>
  </si>
  <si>
    <t>予備（返済の見直し訴求⚠金利半額CP訴求あり）</t>
  </si>
  <si>
    <t>予備（カードローンメリットプッシュ）</t>
  </si>
  <si>
    <t>予備（スマホで簡単！）</t>
  </si>
  <si>
    <t>予備</t>
  </si>
  <si>
    <t>通常配信（初期会話）</t>
  </si>
  <si>
    <t>アイテムリスト（WEB完結）</t>
  </si>
  <si>
    <t>アイテムリスト（最短即日）</t>
  </si>
  <si>
    <t>アイテムリスト（審査優遇）</t>
  </si>
  <si>
    <t>リッチメニュー</t>
  </si>
  <si>
    <t>デフォルトメッセージ</t>
  </si>
  <si>
    <t>時間制限プッシュ</t>
  </si>
  <si>
    <t>RM経由の再診断、トラックプッシュ配信(再診断)</t>
  </si>
  <si>
    <t>【トラック/30分後】リマインドプッシュ</t>
  </si>
  <si>
    <t>【1日後】できるだけおトクにかりたい</t>
  </si>
  <si>
    <t>【2日後】申し込みのステップ</t>
  </si>
  <si>
    <t>【3日後】審査に通るか不安な方必見プッシュ</t>
  </si>
  <si>
    <t>【4日後】かんたんにお借入・ご返済可能プッシュ</t>
  </si>
  <si>
    <t>【5日後】楽天銀行のアプリ案内プッシュ</t>
  </si>
  <si>
    <t>【6日後】利用限度額プッシュ</t>
  </si>
  <si>
    <t>【7日後】自身のペースに合った計画的な返済プランプッシュ</t>
  </si>
  <si>
    <t>【8日後】在籍確認</t>
  </si>
  <si>
    <t>【9日後】カードローンって何？ 特徴をご紹介</t>
  </si>
  <si>
    <t>SPOT配信（アプリ案内）</t>
  </si>
  <si>
    <t>SPOT配信（カードローンの特徴）</t>
  </si>
  <si>
    <t>SPOT配信（かんたんに借入・返済</t>
  </si>
  <si>
    <t>SPOT配信（できるだけおトクにかりたい）</t>
  </si>
  <si>
    <t>SPOT配信（改修リマインドプッシュ）</t>
  </si>
  <si>
    <t>SPOT配信(楽天メリット)</t>
  </si>
  <si>
    <t>SPOT配信(給料日)</t>
  </si>
  <si>
    <t>SPOT配信（現金CP）</t>
  </si>
  <si>
    <t>SPOT配信（計画的な返済）</t>
  </si>
  <si>
    <t>SPOT配信(再診断)</t>
  </si>
  <si>
    <t>SPOT配信（在籍確認）</t>
  </si>
  <si>
    <t>SPOT配信（審査に通過するか）</t>
  </si>
  <si>
    <t>SPOT配信(審査優遇)</t>
  </si>
  <si>
    <t>SPOT配信(申込ステップ)</t>
  </si>
  <si>
    <t>SPOT配信（不安払拭４パターン）</t>
  </si>
  <si>
    <t>SPOT配信（曜日プッシュ）</t>
  </si>
  <si>
    <t>SPOT配信（利用限度額）</t>
  </si>
  <si>
    <t>SPOT配信（衣替えプッシュ）</t>
  </si>
  <si>
    <t>SPOT配信（現金CP_カウントダウン1日前</t>
  </si>
  <si>
    <t>SPOT配信（現金CP_カウントダウン3日前）</t>
  </si>
  <si>
    <t>SPOT配信（現金CP_カウントダウン7日前）</t>
  </si>
  <si>
    <t>sglca</t>
  </si>
  <si>
    <t>sglke</t>
  </si>
  <si>
    <t>sgl3j</t>
  </si>
  <si>
    <t>sglbt</t>
  </si>
  <si>
    <t>sglsm</t>
  </si>
  <si>
    <t>sgl25</t>
  </si>
  <si>
    <t>sglc4</t>
  </si>
  <si>
    <t>sgled</t>
  </si>
  <si>
    <t>sgl3z</t>
  </si>
  <si>
    <t>sgltb</t>
  </si>
  <si>
    <t>sglbn</t>
  </si>
  <si>
    <t>sglv0</t>
  </si>
  <si>
    <t>sgla8</t>
  </si>
  <si>
    <t>sglwa</t>
  </si>
  <si>
    <t>sgl0a</t>
  </si>
  <si>
    <t>sgl8e</t>
  </si>
  <si>
    <t>sgltc</t>
  </si>
  <si>
    <t>sgl5u</t>
  </si>
  <si>
    <t>sgltn</t>
  </si>
  <si>
    <t>sglws</t>
  </si>
  <si>
    <t>sgl41</t>
  </si>
  <si>
    <t>sglkt</t>
  </si>
  <si>
    <t>sglg5</t>
  </si>
  <si>
    <t>sglvd</t>
  </si>
  <si>
    <t>sgl3q</t>
  </si>
  <si>
    <t>sgl50</t>
  </si>
  <si>
    <t>sgl21</t>
  </si>
  <si>
    <t>sgl89</t>
  </si>
  <si>
    <t>sgls9</t>
  </si>
  <si>
    <t>sglr3</t>
  </si>
  <si>
    <t>sglfh</t>
  </si>
  <si>
    <t>sgl4z</t>
  </si>
  <si>
    <t>sglft</t>
  </si>
  <si>
    <t>sgliy</t>
  </si>
  <si>
    <t>sglq7</t>
  </si>
  <si>
    <t>sglge</t>
  </si>
  <si>
    <t>sgl3a</t>
  </si>
  <si>
    <t>sglhj</t>
  </si>
  <si>
    <t>sglsh</t>
  </si>
  <si>
    <t>sglr6</t>
  </si>
  <si>
    <t>sglp6</t>
  </si>
  <si>
    <t>sglts</t>
  </si>
  <si>
    <t>sgl4j</t>
  </si>
  <si>
    <t>sgl49</t>
  </si>
  <si>
    <t>sglyx</t>
  </si>
  <si>
    <t>sglv2</t>
  </si>
  <si>
    <t>sgloi</t>
  </si>
  <si>
    <t>sglqo</t>
  </si>
  <si>
    <t>sgl7s</t>
  </si>
  <si>
    <t>sgp89</t>
  </si>
  <si>
    <t>sgput</t>
  </si>
  <si>
    <t>sgpp9</t>
  </si>
  <si>
    <t>sgpff</t>
  </si>
  <si>
    <t>sgps2</t>
  </si>
  <si>
    <t>sgpdu</t>
  </si>
  <si>
    <t>sgphr</t>
  </si>
  <si>
    <t>sgps9</t>
  </si>
  <si>
    <t>sgpwm</t>
  </si>
  <si>
    <t>sgp9z</t>
  </si>
  <si>
    <t>sgp1q</t>
  </si>
  <si>
    <t>sgpe1</t>
  </si>
  <si>
    <t>sgpz8</t>
  </si>
  <si>
    <t>sgppj</t>
  </si>
  <si>
    <t>sgpze</t>
  </si>
  <si>
    <t>sgp90</t>
  </si>
  <si>
    <t>sgptz</t>
  </si>
  <si>
    <t>sgpgq</t>
  </si>
  <si>
    <t>sgpix</t>
  </si>
  <si>
    <t>sgps1</t>
  </si>
  <si>
    <t>sgp68</t>
  </si>
  <si>
    <t>sgp79</t>
  </si>
  <si>
    <t>sgp4f</t>
  </si>
  <si>
    <t>sgptk</t>
  </si>
  <si>
    <t>sgp6y</t>
  </si>
  <si>
    <t>sgpea</t>
  </si>
  <si>
    <t>sgpfq</t>
  </si>
  <si>
    <t>sgpt7</t>
  </si>
  <si>
    <t>sgpcu</t>
  </si>
  <si>
    <t>sgpr2</t>
  </si>
  <si>
    <t>sgprt</t>
  </si>
  <si>
    <t>sgpd7</t>
  </si>
  <si>
    <t>sgp8k</t>
  </si>
  <si>
    <t>sgpbc</t>
  </si>
  <si>
    <t>sgp4h</t>
  </si>
  <si>
    <t>sgpzy</t>
  </si>
  <si>
    <t>sgpzi</t>
  </si>
  <si>
    <t>sgphc</t>
  </si>
  <si>
    <t>sgpwn</t>
  </si>
  <si>
    <t>sgpab</t>
  </si>
  <si>
    <t>sgpai</t>
  </si>
  <si>
    <t>sgpov</t>
  </si>
  <si>
    <t>sgpo8</t>
  </si>
  <si>
    <t>sgpq6</t>
  </si>
  <si>
    <t>sgpxk</t>
  </si>
  <si>
    <t>sgp3r</t>
  </si>
  <si>
    <t>sgpdq</t>
  </si>
  <si>
    <t>sgpce</t>
  </si>
  <si>
    <t>sgp4k</t>
  </si>
  <si>
    <t>Zeals</t>
    <phoneticPr fontId="3"/>
  </si>
  <si>
    <t>12月</t>
    <rPh sb="2" eb="3">
      <t>ガツ</t>
    </rPh>
    <phoneticPr fontId="4"/>
  </si>
  <si>
    <t>swpbh</t>
  </si>
  <si>
    <t>swpjs</t>
  </si>
  <si>
    <t>swpau</t>
  </si>
  <si>
    <t>swpzc</t>
  </si>
  <si>
    <t>swp3f</t>
  </si>
  <si>
    <t>swp6j</t>
  </si>
  <si>
    <t>swpev</t>
  </si>
  <si>
    <t>swpm9</t>
  </si>
  <si>
    <t>swpq1</t>
  </si>
  <si>
    <t>swpvx</t>
  </si>
  <si>
    <t>swp2m</t>
  </si>
  <si>
    <t>swpij</t>
  </si>
  <si>
    <t>swp5d</t>
  </si>
  <si>
    <t>swpzz</t>
  </si>
  <si>
    <t>swpe1</t>
  </si>
  <si>
    <t>swpn9</t>
  </si>
  <si>
    <t>swpvj</t>
  </si>
  <si>
    <t>swpwz</t>
  </si>
  <si>
    <t>swpiz</t>
  </si>
  <si>
    <t>swpgi</t>
  </si>
  <si>
    <t>swpvp</t>
  </si>
  <si>
    <t>swpjo</t>
  </si>
  <si>
    <t>swpcg</t>
  </si>
  <si>
    <t>swpo7</t>
  </si>
  <si>
    <t>swpeh</t>
  </si>
  <si>
    <t>swpnp</t>
  </si>
  <si>
    <t>swppz</t>
  </si>
  <si>
    <t>swpm6</t>
  </si>
  <si>
    <t>swpor</t>
  </si>
  <si>
    <t>swpku</t>
  </si>
  <si>
    <t>swpo2</t>
  </si>
  <si>
    <t>swpx3</t>
  </si>
  <si>
    <t>swpdy</t>
  </si>
  <si>
    <t>swpjj</t>
  </si>
  <si>
    <t>swpyv</t>
  </si>
  <si>
    <t>swpba</t>
  </si>
  <si>
    <t>swpco</t>
  </si>
  <si>
    <t>swpmv</t>
  </si>
  <si>
    <t>swpaa</t>
  </si>
  <si>
    <t>swp6m</t>
  </si>
  <si>
    <t>swp0a</t>
  </si>
  <si>
    <t>swpvo</t>
  </si>
  <si>
    <t>swpj6</t>
  </si>
  <si>
    <t>swpu5</t>
  </si>
  <si>
    <t>swpzx</t>
  </si>
  <si>
    <t>swpx0</t>
  </si>
  <si>
    <t>swpz8</t>
  </si>
  <si>
    <t>swphr</t>
  </si>
  <si>
    <t>swp9o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</si>
</sst>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theme="1"/>
      <name val="游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/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</cellXfs>
  <cellStyles count="2">
    <cellStyle name="標準" xfId="0" builtinId="0"/>
    <cellStyle name="標準 2" xfId="1" xr:uid="{93192216-7D5F-4870-8546-D272CC270C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s-marika.a.kitahara\Desktop\&#9733;&#27005;&#22825;&#37504;&#34892;&#12487;&#12452;&#12522;&#12540;&#12524;&#12509;&#12540;&#12488;\&#12461;&#12515;&#12531;&#12506;&#12540;&#12531;&#20999;&#12426;&#26367;&#12360;&#23186;&#20307;&#12467;&#12540;&#12489;&#12414;&#12392;&#12417;.xlsx" TargetMode="External"/><Relationship Id="rId1" Type="http://schemas.openxmlformats.org/officeDocument/2006/relationships/externalLinkPath" Target="/Users/ts-marika.a.kitahara/Desktop/&#9733;&#27005;&#22825;&#37504;&#34892;&#12487;&#12452;&#12522;&#12540;&#12524;&#12509;&#12540;&#12488;/&#12461;&#12515;&#12531;&#12506;&#12540;&#12531;&#20999;&#12426;&#26367;&#12360;&#23186;&#20307;&#12467;&#12540;&#12489;&#12414;&#12392;&#1241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月プラン"/>
    </sheetNames>
    <sheetDataSet>
      <sheetData sheetId="0">
        <row r="2">
          <cell r="E2" t="str">
            <v>旧媒体コード(11/6~)</v>
          </cell>
          <cell r="F2" t="str">
            <v>新規媒体コード
(12/22~)</v>
          </cell>
        </row>
        <row r="3">
          <cell r="E3" t="str">
            <v>sxp1c</v>
          </cell>
          <cell r="F3" t="str">
            <v>swpgk</v>
          </cell>
        </row>
        <row r="4">
          <cell r="E4" t="str">
            <v>sgp3a</v>
          </cell>
          <cell r="F4" t="str">
            <v>swp59</v>
          </cell>
        </row>
        <row r="5">
          <cell r="E5" t="str">
            <v>sgpc3</v>
          </cell>
          <cell r="F5" t="str">
            <v>swpgp</v>
          </cell>
        </row>
        <row r="6">
          <cell r="E6" t="str">
            <v>sgpzr</v>
          </cell>
          <cell r="F6" t="str">
            <v>swp8i</v>
          </cell>
        </row>
        <row r="7">
          <cell r="E7" t="str">
            <v>sgptw</v>
          </cell>
          <cell r="F7" t="str">
            <v>swp7p</v>
          </cell>
        </row>
        <row r="8">
          <cell r="E8" t="str">
            <v>sgpfc</v>
          </cell>
          <cell r="F8" t="str">
            <v>swpuh</v>
          </cell>
        </row>
        <row r="9">
          <cell r="E9" t="str">
            <v>sgprv</v>
          </cell>
          <cell r="F9" t="str">
            <v>swp0v</v>
          </cell>
        </row>
        <row r="10">
          <cell r="E10" t="str">
            <v>sgptp</v>
          </cell>
          <cell r="F10" t="str">
            <v>swprc</v>
          </cell>
        </row>
        <row r="11">
          <cell r="E11" t="str">
            <v>sgphm</v>
          </cell>
          <cell r="F11" t="str">
            <v>swpcp</v>
          </cell>
        </row>
        <row r="12">
          <cell r="E12" t="str">
            <v>sgpw3</v>
          </cell>
          <cell r="F12" t="str">
            <v>swpao</v>
          </cell>
        </row>
        <row r="13">
          <cell r="E13" t="str">
            <v>sgp3q</v>
          </cell>
          <cell r="F13" t="str">
            <v>swpq0</v>
          </cell>
        </row>
        <row r="14">
          <cell r="E14" t="str">
            <v>sgppd</v>
          </cell>
          <cell r="F14" t="str">
            <v>swpnf</v>
          </cell>
        </row>
        <row r="15">
          <cell r="E15" t="str">
            <v>sgpjr</v>
          </cell>
          <cell r="F15" t="str">
            <v>swp09</v>
          </cell>
        </row>
        <row r="16">
          <cell r="E16" t="str">
            <v>sgppr</v>
          </cell>
          <cell r="F16" t="str">
            <v>swpt9</v>
          </cell>
        </row>
        <row r="17">
          <cell r="E17" t="str">
            <v>sgpkn</v>
          </cell>
          <cell r="F17" t="str">
            <v>swptk</v>
          </cell>
        </row>
        <row r="18">
          <cell r="E18" t="str">
            <v>sgp6m</v>
          </cell>
          <cell r="F18" t="str">
            <v>swpsp</v>
          </cell>
        </row>
        <row r="19">
          <cell r="E19" t="str">
            <v>sgp64</v>
          </cell>
          <cell r="F19" t="str">
            <v>swp9m</v>
          </cell>
        </row>
        <row r="20">
          <cell r="E20" t="str">
            <v>sgpqi</v>
          </cell>
          <cell r="F20" t="str">
            <v>swp5g</v>
          </cell>
        </row>
        <row r="21">
          <cell r="E21" t="str">
            <v>sgpug</v>
          </cell>
          <cell r="F21" t="str">
            <v>swpps</v>
          </cell>
        </row>
        <row r="22">
          <cell r="E22" t="str">
            <v>sgptd</v>
          </cell>
          <cell r="F22" t="str">
            <v>swpbb</v>
          </cell>
        </row>
        <row r="23">
          <cell r="E23" t="str">
            <v>sgp49</v>
          </cell>
          <cell r="F23" t="str">
            <v>swp8e</v>
          </cell>
        </row>
        <row r="24">
          <cell r="E24" t="str">
            <v>sgpmo</v>
          </cell>
          <cell r="F24" t="str">
            <v>swp90</v>
          </cell>
        </row>
        <row r="25">
          <cell r="E25" t="str">
            <v>sgpg4</v>
          </cell>
          <cell r="F25" t="str">
            <v>swpjr</v>
          </cell>
        </row>
        <row r="26">
          <cell r="E26" t="str">
            <v>sgphp</v>
          </cell>
          <cell r="F26" t="str">
            <v>swpyz</v>
          </cell>
        </row>
        <row r="27">
          <cell r="E27" t="str">
            <v>sgpi0</v>
          </cell>
          <cell r="F27" t="str">
            <v>swp74</v>
          </cell>
        </row>
        <row r="28">
          <cell r="E28" t="str">
            <v>sgp7n</v>
          </cell>
          <cell r="F28" t="str">
            <v>swpmf</v>
          </cell>
        </row>
        <row r="29">
          <cell r="E29" t="str">
            <v>sgp6e</v>
          </cell>
          <cell r="F29" t="str">
            <v>swpzv</v>
          </cell>
        </row>
        <row r="30">
          <cell r="E30" t="str">
            <v>sgpv1</v>
          </cell>
          <cell r="F30" t="str">
            <v>swpxy</v>
          </cell>
        </row>
        <row r="31">
          <cell r="E31" t="str">
            <v>sglao</v>
          </cell>
          <cell r="F31" t="str">
            <v>swpvi</v>
          </cell>
        </row>
        <row r="32">
          <cell r="E32" t="str">
            <v>sgpwg</v>
          </cell>
          <cell r="F32" t="str">
            <v>swpne</v>
          </cell>
        </row>
        <row r="33">
          <cell r="F33" t="str">
            <v>swpj9</v>
          </cell>
        </row>
        <row r="34">
          <cell r="F34" t="str">
            <v>swpad</v>
          </cell>
        </row>
        <row r="35">
          <cell r="E35" t="str">
            <v>sgpdg</v>
          </cell>
          <cell r="F35" t="str">
            <v>swpj0</v>
          </cell>
        </row>
        <row r="36">
          <cell r="E36" t="str">
            <v>sgp0q</v>
          </cell>
          <cell r="F36" t="str">
            <v>swpq2</v>
          </cell>
        </row>
        <row r="37">
          <cell r="E37" t="str">
            <v>sgphn</v>
          </cell>
          <cell r="F37" t="str">
            <v>swp96</v>
          </cell>
        </row>
        <row r="38">
          <cell r="E38" t="str">
            <v>sgp4q</v>
          </cell>
          <cell r="F38" t="str">
            <v>swpva</v>
          </cell>
        </row>
        <row r="39">
          <cell r="E39" t="str">
            <v>sgp6r</v>
          </cell>
          <cell r="F39" t="str">
            <v>swpay</v>
          </cell>
        </row>
        <row r="40">
          <cell r="E40" t="str">
            <v>sgpx9</v>
          </cell>
          <cell r="F40" t="str">
            <v>swpo3</v>
          </cell>
        </row>
        <row r="41">
          <cell r="E41" t="str">
            <v>sgp1w</v>
          </cell>
          <cell r="F41" t="str">
            <v>swp4p</v>
          </cell>
        </row>
        <row r="42">
          <cell r="E42" t="str">
            <v>sgpp1</v>
          </cell>
          <cell r="F42" t="str">
            <v>swpwm</v>
          </cell>
        </row>
        <row r="43">
          <cell r="E43" t="str">
            <v>sgpg9</v>
          </cell>
          <cell r="F43" t="str">
            <v>swprd</v>
          </cell>
        </row>
        <row r="44">
          <cell r="E44" t="str">
            <v>sgpdb</v>
          </cell>
          <cell r="F44" t="str">
            <v>swpp0</v>
          </cell>
        </row>
        <row r="45">
          <cell r="E45" t="str">
            <v>sgp5e</v>
          </cell>
          <cell r="F45" t="str">
            <v>swpdj</v>
          </cell>
        </row>
        <row r="46">
          <cell r="E46" t="str">
            <v>-</v>
          </cell>
        </row>
        <row r="47">
          <cell r="E47" t="str">
            <v>sgpg5</v>
          </cell>
          <cell r="F47" t="str">
            <v>swpjt</v>
          </cell>
        </row>
        <row r="48">
          <cell r="E48" t="str">
            <v>sgpvc</v>
          </cell>
          <cell r="F48" t="str">
            <v>swps3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F8E8-C22F-4E38-8E96-70A9C06BD1EB}">
  <dimension ref="A1:F94"/>
  <sheetViews>
    <sheetView tabSelected="1" workbookViewId="0"/>
  </sheetViews>
  <sheetFormatPr defaultRowHeight="15" x14ac:dyDescent="0.45"/>
  <cols>
    <col min="1" max="1" width="33.59765625" style="2" bestFit="1" customWidth="1"/>
    <col min="2" max="2" width="8.69921875" style="2" bestFit="1" customWidth="1"/>
    <col min="3" max="4" width="7.09765625" style="2" bestFit="1" customWidth="1"/>
    <col min="5" max="5" width="7.296875" style="2" bestFit="1" customWidth="1"/>
    <col min="6" max="16384" width="8.796875" style="2"/>
  </cols>
  <sheetData>
    <row r="1" spans="1:6" x14ac:dyDescent="0.45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353</v>
      </c>
    </row>
    <row r="2" spans="1:6" x14ac:dyDescent="0.45">
      <c r="A2" s="3" t="s">
        <v>148</v>
      </c>
      <c r="B2" s="3" t="s">
        <v>8</v>
      </c>
      <c r="C2" s="3" t="s">
        <v>5</v>
      </c>
      <c r="D2" s="3" t="s">
        <v>6</v>
      </c>
      <c r="E2" s="3" t="s">
        <v>7</v>
      </c>
      <c r="F2" s="3" t="str" cm="1">
        <f t="array" ref="F2">_xlfn.XLOOKUP(E2,'[1]12月プラン'!$E:$E,'[1]12月プラン'!$F:F)</f>
        <v>swpgk</v>
      </c>
    </row>
    <row r="3" spans="1:6" x14ac:dyDescent="0.45">
      <c r="A3" s="3" t="s">
        <v>149</v>
      </c>
      <c r="B3" s="3" t="s">
        <v>12</v>
      </c>
      <c r="C3" s="3" t="s">
        <v>9</v>
      </c>
      <c r="D3" s="3" t="s">
        <v>10</v>
      </c>
      <c r="E3" s="3" t="s">
        <v>11</v>
      </c>
      <c r="F3" s="3" t="str" cm="1">
        <f t="array" ref="F3">_xlfn.XLOOKUP(E3,'[1]12月プラン'!$E:$E,'[1]12月プラン'!$F:F)</f>
        <v>swp59</v>
      </c>
    </row>
    <row r="4" spans="1:6" x14ac:dyDescent="0.45">
      <c r="A4" s="3" t="s">
        <v>150</v>
      </c>
      <c r="B4" s="3" t="s">
        <v>12</v>
      </c>
      <c r="C4" s="3" t="s">
        <v>13</v>
      </c>
      <c r="D4" s="3" t="s">
        <v>14</v>
      </c>
      <c r="E4" s="3" t="s">
        <v>15</v>
      </c>
      <c r="F4" s="3" t="str" cm="1">
        <f t="array" ref="F4">_xlfn.XLOOKUP(E4,'[1]12月プラン'!$E:$E,'[1]12月プラン'!$F:F)</f>
        <v>swpgp</v>
      </c>
    </row>
    <row r="5" spans="1:6" x14ac:dyDescent="0.45">
      <c r="A5" s="3" t="s">
        <v>151</v>
      </c>
      <c r="B5" s="3" t="s">
        <v>12</v>
      </c>
      <c r="C5" s="3" t="s">
        <v>16</v>
      </c>
      <c r="D5" s="3" t="s">
        <v>17</v>
      </c>
      <c r="E5" s="3" t="s">
        <v>18</v>
      </c>
      <c r="F5" s="3" t="str" cm="1">
        <f t="array" ref="F5">_xlfn.XLOOKUP(E5,'[1]12月プラン'!$E:$E,'[1]12月プラン'!$F:F)</f>
        <v>swp8i</v>
      </c>
    </row>
    <row r="6" spans="1:6" x14ac:dyDescent="0.45">
      <c r="A6" s="3" t="s">
        <v>152</v>
      </c>
      <c r="B6" s="3" t="s">
        <v>12</v>
      </c>
      <c r="C6" s="3" t="s">
        <v>19</v>
      </c>
      <c r="D6" s="3" t="s">
        <v>20</v>
      </c>
      <c r="E6" s="3" t="s">
        <v>21</v>
      </c>
      <c r="F6" s="3" t="str" cm="1">
        <f t="array" ref="F6">_xlfn.XLOOKUP(E6,'[1]12月プラン'!$E:$E,'[1]12月プラン'!$F:F)</f>
        <v>swp7p</v>
      </c>
    </row>
    <row r="7" spans="1:6" x14ac:dyDescent="0.45">
      <c r="A7" s="3" t="s">
        <v>153</v>
      </c>
      <c r="B7" s="3" t="s">
        <v>12</v>
      </c>
      <c r="C7" s="3" t="s">
        <v>22</v>
      </c>
      <c r="D7" s="3" t="s">
        <v>23</v>
      </c>
      <c r="E7" s="3" t="s">
        <v>24</v>
      </c>
      <c r="F7" s="3" t="str" cm="1">
        <f t="array" ref="F7">_xlfn.XLOOKUP(E7,'[1]12月プラン'!$E:$E,'[1]12月プラン'!$F:F)</f>
        <v>swpuh</v>
      </c>
    </row>
    <row r="8" spans="1:6" x14ac:dyDescent="0.45">
      <c r="A8" s="3" t="s">
        <v>154</v>
      </c>
      <c r="B8" s="3" t="s">
        <v>12</v>
      </c>
      <c r="C8" s="3" t="s">
        <v>25</v>
      </c>
      <c r="D8" s="3" t="s">
        <v>26</v>
      </c>
      <c r="E8" s="3" t="s">
        <v>27</v>
      </c>
      <c r="F8" s="3" t="str" cm="1">
        <f t="array" ref="F8">_xlfn.XLOOKUP(E8,'[1]12月プラン'!$E:$E,'[1]12月プラン'!$F:F)</f>
        <v>swp0v</v>
      </c>
    </row>
    <row r="9" spans="1:6" x14ac:dyDescent="0.45">
      <c r="A9" s="3" t="s">
        <v>155</v>
      </c>
      <c r="B9" s="3" t="s">
        <v>12</v>
      </c>
      <c r="C9" s="3" t="s">
        <v>28</v>
      </c>
      <c r="D9" s="3" t="s">
        <v>29</v>
      </c>
      <c r="E9" s="3" t="s">
        <v>30</v>
      </c>
      <c r="F9" s="3" t="str" cm="1">
        <f t="array" ref="F9">_xlfn.XLOOKUP(E9,'[1]12月プラン'!$E:$E,'[1]12月プラン'!$F:F)</f>
        <v>swprc</v>
      </c>
    </row>
    <row r="10" spans="1:6" x14ac:dyDescent="0.45">
      <c r="A10" s="3" t="s">
        <v>31</v>
      </c>
      <c r="B10" s="3" t="s">
        <v>12</v>
      </c>
      <c r="C10" s="3" t="s">
        <v>32</v>
      </c>
      <c r="D10" s="3" t="s">
        <v>33</v>
      </c>
      <c r="E10" s="3" t="s">
        <v>34</v>
      </c>
      <c r="F10" s="3" t="str" cm="1">
        <f t="array" ref="F10">_xlfn.XLOOKUP(E10,'[1]12月プラン'!$E:$E,'[1]12月プラン'!$F:F)</f>
        <v>swpcp</v>
      </c>
    </row>
    <row r="11" spans="1:6" x14ac:dyDescent="0.45">
      <c r="A11" s="3" t="s">
        <v>156</v>
      </c>
      <c r="B11" s="3" t="s">
        <v>12</v>
      </c>
      <c r="C11" s="3" t="s">
        <v>35</v>
      </c>
      <c r="D11" s="3" t="s">
        <v>36</v>
      </c>
      <c r="E11" s="3" t="s">
        <v>37</v>
      </c>
      <c r="F11" s="3" t="str" cm="1">
        <f t="array" ref="F11">_xlfn.XLOOKUP(E11,'[1]12月プラン'!$E:$E,'[1]12月プラン'!$F:F)</f>
        <v>swpao</v>
      </c>
    </row>
    <row r="12" spans="1:6" x14ac:dyDescent="0.45">
      <c r="A12" s="3" t="s">
        <v>38</v>
      </c>
      <c r="B12" s="3" t="s">
        <v>12</v>
      </c>
      <c r="C12" s="3" t="s">
        <v>39</v>
      </c>
      <c r="D12" s="3" t="s">
        <v>40</v>
      </c>
      <c r="E12" s="3" t="s">
        <v>41</v>
      </c>
      <c r="F12" s="3" t="str" cm="1">
        <f t="array" ref="F12">_xlfn.XLOOKUP(E12,'[1]12月プラン'!$E:$E,'[1]12月プラン'!$F:F)</f>
        <v>swpq0</v>
      </c>
    </row>
    <row r="13" spans="1:6" x14ac:dyDescent="0.45">
      <c r="A13" s="3" t="s">
        <v>157</v>
      </c>
      <c r="B13" s="3" t="s">
        <v>12</v>
      </c>
      <c r="C13" s="3" t="s">
        <v>42</v>
      </c>
      <c r="D13" s="3" t="s">
        <v>43</v>
      </c>
      <c r="E13" s="3" t="s">
        <v>44</v>
      </c>
      <c r="F13" s="3" t="str" cm="1">
        <f t="array" ref="F13">_xlfn.XLOOKUP(E13,'[1]12月プラン'!$E:$E,'[1]12月プラン'!$F:F)</f>
        <v>swpnf</v>
      </c>
    </row>
    <row r="14" spans="1:6" x14ac:dyDescent="0.45">
      <c r="A14" s="3" t="s">
        <v>45</v>
      </c>
      <c r="B14" s="3" t="s">
        <v>12</v>
      </c>
      <c r="C14" s="3" t="s">
        <v>46</v>
      </c>
      <c r="D14" s="3" t="s">
        <v>47</v>
      </c>
      <c r="E14" s="3" t="s">
        <v>48</v>
      </c>
      <c r="F14" s="3" t="str" cm="1">
        <f t="array" ref="F14">_xlfn.XLOOKUP(E14,'[1]12月プラン'!$E:$E,'[1]12月プラン'!$F:F)</f>
        <v>swp09</v>
      </c>
    </row>
    <row r="15" spans="1:6" x14ac:dyDescent="0.45">
      <c r="A15" s="3" t="s">
        <v>158</v>
      </c>
      <c r="B15" s="3" t="s">
        <v>12</v>
      </c>
      <c r="C15" s="3" t="s">
        <v>49</v>
      </c>
      <c r="D15" s="3" t="s">
        <v>50</v>
      </c>
      <c r="E15" s="3" t="s">
        <v>51</v>
      </c>
      <c r="F15" s="3" t="str" cm="1">
        <f t="array" ref="F15">_xlfn.XLOOKUP(E15,'[1]12月プラン'!$E:$E,'[1]12月プラン'!$F:F)</f>
        <v>swpt9</v>
      </c>
    </row>
    <row r="16" spans="1:6" x14ac:dyDescent="0.45">
      <c r="A16" s="3" t="s">
        <v>52</v>
      </c>
      <c r="B16" s="3" t="s">
        <v>12</v>
      </c>
      <c r="C16" s="3" t="s">
        <v>53</v>
      </c>
      <c r="D16" s="3" t="s">
        <v>53</v>
      </c>
      <c r="E16" s="3" t="s">
        <v>54</v>
      </c>
      <c r="F16" s="3" t="str" cm="1">
        <f t="array" ref="F16">_xlfn.XLOOKUP(E16,'[1]12月プラン'!$E:$E,'[1]12月プラン'!$F:F)</f>
        <v>swptk</v>
      </c>
    </row>
    <row r="17" spans="1:6" x14ac:dyDescent="0.45">
      <c r="A17" s="3" t="s">
        <v>55</v>
      </c>
      <c r="B17" s="3" t="s">
        <v>12</v>
      </c>
      <c r="C17" s="3" t="s">
        <v>56</v>
      </c>
      <c r="D17" s="3" t="s">
        <v>56</v>
      </c>
      <c r="E17" s="3" t="s">
        <v>57</v>
      </c>
      <c r="F17" s="3" t="str" cm="1">
        <f t="array" ref="F17">_xlfn.XLOOKUP(E17,'[1]12月プラン'!$E:$E,'[1]12月プラン'!$F:F)</f>
        <v>swpsp</v>
      </c>
    </row>
    <row r="18" spans="1:6" x14ac:dyDescent="0.45">
      <c r="A18" s="3" t="s">
        <v>58</v>
      </c>
      <c r="B18" s="3" t="s">
        <v>12</v>
      </c>
      <c r="C18" s="3" t="s">
        <v>59</v>
      </c>
      <c r="D18" s="3" t="s">
        <v>59</v>
      </c>
      <c r="E18" s="3" t="s">
        <v>60</v>
      </c>
      <c r="F18" s="3" t="str" cm="1">
        <f t="array" ref="F18">_xlfn.XLOOKUP(E18,'[1]12月プラン'!$E:$E,'[1]12月プラン'!$F:F)</f>
        <v>swp9m</v>
      </c>
    </row>
    <row r="19" spans="1:6" x14ac:dyDescent="0.45">
      <c r="A19" s="3" t="s">
        <v>61</v>
      </c>
      <c r="B19" s="3" t="s">
        <v>12</v>
      </c>
      <c r="C19" s="3" t="s">
        <v>62</v>
      </c>
      <c r="D19" s="3" t="s">
        <v>62</v>
      </c>
      <c r="E19" s="3" t="s">
        <v>63</v>
      </c>
      <c r="F19" s="3" t="str" cm="1">
        <f t="array" ref="F19">_xlfn.XLOOKUP(E19,'[1]12月プラン'!$E:$E,'[1]12月プラン'!$F:F)</f>
        <v>swp5g</v>
      </c>
    </row>
    <row r="20" spans="1:6" x14ac:dyDescent="0.45">
      <c r="A20" s="3" t="s">
        <v>64</v>
      </c>
      <c r="B20" s="3" t="s">
        <v>12</v>
      </c>
      <c r="C20" s="3" t="s">
        <v>65</v>
      </c>
      <c r="D20" s="3" t="s">
        <v>65</v>
      </c>
      <c r="E20" s="3" t="s">
        <v>66</v>
      </c>
      <c r="F20" s="3" t="str" cm="1">
        <f t="array" ref="F20">_xlfn.XLOOKUP(E20,'[1]12月プラン'!$E:$E,'[1]12月プラン'!$F:F)</f>
        <v>swpps</v>
      </c>
    </row>
    <row r="21" spans="1:6" x14ac:dyDescent="0.45">
      <c r="A21" s="3" t="s">
        <v>67</v>
      </c>
      <c r="B21" s="3" t="s">
        <v>12</v>
      </c>
      <c r="C21" s="3" t="s">
        <v>68</v>
      </c>
      <c r="D21" s="3" t="s">
        <v>68</v>
      </c>
      <c r="E21" s="3" t="s">
        <v>69</v>
      </c>
      <c r="F21" s="3" t="str" cm="1">
        <f t="array" ref="F21">_xlfn.XLOOKUP(E21,'[1]12月プラン'!$E:$E,'[1]12月プラン'!$F:F)</f>
        <v>swpbb</v>
      </c>
    </row>
    <row r="22" spans="1:6" x14ac:dyDescent="0.45">
      <c r="A22" s="3" t="s">
        <v>70</v>
      </c>
      <c r="B22" s="3" t="s">
        <v>12</v>
      </c>
      <c r="C22" s="3" t="s">
        <v>71</v>
      </c>
      <c r="D22" s="3" t="s">
        <v>71</v>
      </c>
      <c r="E22" s="3" t="s">
        <v>72</v>
      </c>
      <c r="F22" s="3" t="str" cm="1">
        <f t="array" ref="F22">_xlfn.XLOOKUP(E22,'[1]12月プラン'!$E:$E,'[1]12月プラン'!$F:F)</f>
        <v>swp8e</v>
      </c>
    </row>
    <row r="23" spans="1:6" x14ac:dyDescent="0.45">
      <c r="A23" s="3" t="s">
        <v>73</v>
      </c>
      <c r="B23" s="3" t="s">
        <v>12</v>
      </c>
      <c r="C23" s="3" t="s">
        <v>74</v>
      </c>
      <c r="D23" s="3" t="s">
        <v>74</v>
      </c>
      <c r="E23" s="3" t="s">
        <v>75</v>
      </c>
      <c r="F23" s="3" t="str" cm="1">
        <f t="array" ref="F23">_xlfn.XLOOKUP(E23,'[1]12月プラン'!$E:$E,'[1]12月プラン'!$F:F)</f>
        <v>swp90</v>
      </c>
    </row>
    <row r="24" spans="1:6" x14ac:dyDescent="0.45">
      <c r="A24" s="3" t="s">
        <v>76</v>
      </c>
      <c r="B24" s="3" t="s">
        <v>12</v>
      </c>
      <c r="C24" s="3" t="s">
        <v>77</v>
      </c>
      <c r="D24" s="3" t="s">
        <v>77</v>
      </c>
      <c r="E24" s="3" t="s">
        <v>78</v>
      </c>
      <c r="F24" s="3" t="str" cm="1">
        <f t="array" ref="F24">_xlfn.XLOOKUP(E24,'[1]12月プラン'!$E:$E,'[1]12月プラン'!$F:F)</f>
        <v>swpjr</v>
      </c>
    </row>
    <row r="25" spans="1:6" x14ac:dyDescent="0.45">
      <c r="A25" s="3" t="s">
        <v>79</v>
      </c>
      <c r="B25" s="3" t="s">
        <v>12</v>
      </c>
      <c r="C25" s="3" t="s">
        <v>80</v>
      </c>
      <c r="D25" s="3" t="s">
        <v>80</v>
      </c>
      <c r="E25" s="3" t="s">
        <v>81</v>
      </c>
      <c r="F25" s="3" t="str" cm="1">
        <f t="array" ref="F25">_xlfn.XLOOKUP(E25,'[1]12月プラン'!$E:$E,'[1]12月プラン'!$F:F)</f>
        <v>swpyz</v>
      </c>
    </row>
    <row r="26" spans="1:6" x14ac:dyDescent="0.45">
      <c r="A26" s="3" t="s">
        <v>82</v>
      </c>
      <c r="B26" s="3" t="s">
        <v>12</v>
      </c>
      <c r="C26" s="3" t="s">
        <v>83</v>
      </c>
      <c r="D26" s="3" t="s">
        <v>83</v>
      </c>
      <c r="E26" s="3" t="s">
        <v>84</v>
      </c>
      <c r="F26" s="3" t="str" cm="1">
        <f t="array" ref="F26">_xlfn.XLOOKUP(E26,'[1]12月プラン'!$E:$E,'[1]12月プラン'!$F:F)</f>
        <v>swp74</v>
      </c>
    </row>
    <row r="27" spans="1:6" x14ac:dyDescent="0.45">
      <c r="A27" s="3" t="s">
        <v>85</v>
      </c>
      <c r="B27" s="3" t="s">
        <v>12</v>
      </c>
      <c r="C27" s="3" t="s">
        <v>86</v>
      </c>
      <c r="D27" s="3" t="s">
        <v>86</v>
      </c>
      <c r="E27" s="3" t="s">
        <v>87</v>
      </c>
      <c r="F27" s="3" t="str" cm="1">
        <f t="array" ref="F27">_xlfn.XLOOKUP(E27,'[1]12月プラン'!$E:$E,'[1]12月プラン'!$F:F)</f>
        <v>swpmf</v>
      </c>
    </row>
    <row r="28" spans="1:6" x14ac:dyDescent="0.45">
      <c r="A28" s="3" t="s">
        <v>88</v>
      </c>
      <c r="B28" s="3" t="s">
        <v>12</v>
      </c>
      <c r="C28" s="3" t="s">
        <v>89</v>
      </c>
      <c r="D28" s="3" t="s">
        <v>89</v>
      </c>
      <c r="E28" s="3" t="s">
        <v>90</v>
      </c>
      <c r="F28" s="3" t="str" cm="1">
        <f t="array" ref="F28">_xlfn.XLOOKUP(E28,'[1]12月プラン'!$E:$E,'[1]12月プラン'!$F:F)</f>
        <v>swpzv</v>
      </c>
    </row>
    <row r="29" spans="1:6" x14ac:dyDescent="0.45">
      <c r="A29" s="3" t="s">
        <v>91</v>
      </c>
      <c r="B29" s="3" t="s">
        <v>94</v>
      </c>
      <c r="C29" s="3" t="s">
        <v>92</v>
      </c>
      <c r="D29" s="3" t="s">
        <v>92</v>
      </c>
      <c r="E29" s="3" t="s">
        <v>93</v>
      </c>
      <c r="F29" s="3" t="str" cm="1">
        <f t="array" ref="F29">_xlfn.XLOOKUP(E29,'[1]12月プラン'!$E:$E,'[1]12月プラン'!$F:F)</f>
        <v>swpxy</v>
      </c>
    </row>
    <row r="30" spans="1:6" x14ac:dyDescent="0.45">
      <c r="A30" s="3" t="s">
        <v>159</v>
      </c>
      <c r="B30" s="3" t="s">
        <v>94</v>
      </c>
      <c r="C30" s="3"/>
      <c r="D30" s="3" t="s">
        <v>95</v>
      </c>
      <c r="E30" s="3" t="s">
        <v>96</v>
      </c>
      <c r="F30" s="3" t="str" cm="1">
        <f t="array" ref="F30">_xlfn.XLOOKUP(E30,'[1]12月プラン'!$E:$E,'[1]12月プラン'!$F:F)</f>
        <v>swpvi</v>
      </c>
    </row>
    <row r="31" spans="1:6" x14ac:dyDescent="0.45">
      <c r="A31" s="3" t="s">
        <v>97</v>
      </c>
      <c r="B31" s="3" t="s">
        <v>94</v>
      </c>
      <c r="C31" s="3" t="s">
        <v>98</v>
      </c>
      <c r="D31" s="3" t="s">
        <v>98</v>
      </c>
      <c r="E31" s="3" t="s">
        <v>99</v>
      </c>
      <c r="F31" s="3" t="str" cm="1">
        <f t="array" ref="F31">_xlfn.XLOOKUP(E31,'[1]12月プラン'!$E:$E,'[1]12月プラン'!$F:F)</f>
        <v>swpne</v>
      </c>
    </row>
    <row r="32" spans="1:6" x14ac:dyDescent="0.45">
      <c r="A32" s="3" t="s">
        <v>100</v>
      </c>
      <c r="B32" s="3" t="s">
        <v>94</v>
      </c>
      <c r="C32" s="3" t="s">
        <v>101</v>
      </c>
      <c r="D32" s="3" t="s">
        <v>102</v>
      </c>
      <c r="E32" s="3" t="s">
        <v>103</v>
      </c>
      <c r="F32" s="3" t="str" cm="1">
        <f t="array" ref="F32">_xlfn.XLOOKUP(E32,'[1]12月プラン'!$E:$E,'[1]12月プラン'!$F:F)</f>
        <v>swpj0</v>
      </c>
    </row>
    <row r="33" spans="1:6" x14ac:dyDescent="0.45">
      <c r="A33" s="3" t="s">
        <v>104</v>
      </c>
      <c r="B33" s="3" t="s">
        <v>94</v>
      </c>
      <c r="C33" s="3" t="s">
        <v>105</v>
      </c>
      <c r="D33" s="3" t="s">
        <v>106</v>
      </c>
      <c r="E33" s="3" t="s">
        <v>107</v>
      </c>
      <c r="F33" s="3" t="str" cm="1">
        <f t="array" ref="F33">_xlfn.XLOOKUP(E33,'[1]12月プラン'!$E:$E,'[1]12月プラン'!$F:F)</f>
        <v>swpq2</v>
      </c>
    </row>
    <row r="34" spans="1:6" x14ac:dyDescent="0.45">
      <c r="A34" s="3" t="s">
        <v>108</v>
      </c>
      <c r="B34" s="3" t="s">
        <v>94</v>
      </c>
      <c r="C34" s="3" t="s">
        <v>109</v>
      </c>
      <c r="D34" s="3" t="s">
        <v>110</v>
      </c>
      <c r="E34" s="3" t="s">
        <v>111</v>
      </c>
      <c r="F34" s="3" t="str" cm="1">
        <f t="array" ref="F34">_xlfn.XLOOKUP(E34,'[1]12月プラン'!$E:$E,'[1]12月プラン'!$F:F)</f>
        <v>swp96</v>
      </c>
    </row>
    <row r="35" spans="1:6" x14ac:dyDescent="0.45">
      <c r="A35" s="3" t="s">
        <v>112</v>
      </c>
      <c r="B35" s="3" t="s">
        <v>94</v>
      </c>
      <c r="C35" s="3" t="s">
        <v>113</v>
      </c>
      <c r="D35" s="3" t="s">
        <v>114</v>
      </c>
      <c r="E35" s="3" t="s">
        <v>115</v>
      </c>
      <c r="F35" s="3" t="str" cm="1">
        <f t="array" ref="F35">_xlfn.XLOOKUP(E35,'[1]12月プラン'!$E:$E,'[1]12月プラン'!$F:F)</f>
        <v>swpva</v>
      </c>
    </row>
    <row r="36" spans="1:6" x14ac:dyDescent="0.45">
      <c r="A36" s="3" t="s">
        <v>116</v>
      </c>
      <c r="B36" s="3" t="s">
        <v>94</v>
      </c>
      <c r="C36" s="3" t="s">
        <v>117</v>
      </c>
      <c r="D36" s="3" t="s">
        <v>118</v>
      </c>
      <c r="E36" s="3" t="s">
        <v>119</v>
      </c>
      <c r="F36" s="3" t="str" cm="1">
        <f t="array" ref="F36">_xlfn.XLOOKUP(E36,'[1]12月プラン'!$E:$E,'[1]12月プラン'!$F:F)</f>
        <v>swpay</v>
      </c>
    </row>
    <row r="37" spans="1:6" x14ac:dyDescent="0.45">
      <c r="A37" s="3" t="s">
        <v>120</v>
      </c>
      <c r="B37" s="3" t="s">
        <v>94</v>
      </c>
      <c r="C37" s="3" t="s">
        <v>121</v>
      </c>
      <c r="D37" s="3" t="s">
        <v>122</v>
      </c>
      <c r="E37" s="3" t="s">
        <v>123</v>
      </c>
      <c r="F37" s="3" t="str" cm="1">
        <f t="array" ref="F37">_xlfn.XLOOKUP(E37,'[1]12月プラン'!$E:$E,'[1]12月プラン'!$F:F)</f>
        <v>swpo3</v>
      </c>
    </row>
    <row r="38" spans="1:6" x14ac:dyDescent="0.45">
      <c r="A38" s="3" t="s">
        <v>124</v>
      </c>
      <c r="B38" s="3" t="s">
        <v>94</v>
      </c>
      <c r="C38" s="3" t="s">
        <v>125</v>
      </c>
      <c r="D38" s="3" t="s">
        <v>126</v>
      </c>
      <c r="E38" s="3" t="s">
        <v>127</v>
      </c>
      <c r="F38" s="3" t="str" cm="1">
        <f t="array" ref="F38">_xlfn.XLOOKUP(E38,'[1]12月プラン'!$E:$E,'[1]12月プラン'!$F:F)</f>
        <v>swp4p</v>
      </c>
    </row>
    <row r="39" spans="1:6" x14ac:dyDescent="0.45">
      <c r="A39" s="3" t="s">
        <v>128</v>
      </c>
      <c r="B39" s="3" t="s">
        <v>94</v>
      </c>
      <c r="C39" s="3" t="s">
        <v>125</v>
      </c>
      <c r="D39" s="3" t="s">
        <v>125</v>
      </c>
      <c r="E39" s="3" t="s">
        <v>129</v>
      </c>
      <c r="F39" s="3" t="str" cm="1">
        <f t="array" ref="F39">_xlfn.XLOOKUP(E39,'[1]12月プラン'!$E:$E,'[1]12月プラン'!$F:F)</f>
        <v>swpwm</v>
      </c>
    </row>
    <row r="40" spans="1:6" x14ac:dyDescent="0.45">
      <c r="A40" s="3" t="s">
        <v>130</v>
      </c>
      <c r="B40" s="3" t="s">
        <v>94</v>
      </c>
      <c r="C40" s="3" t="s">
        <v>131</v>
      </c>
      <c r="D40" s="3" t="s">
        <v>131</v>
      </c>
      <c r="E40" s="3" t="s">
        <v>132</v>
      </c>
      <c r="F40" s="3" t="str" cm="1">
        <f t="array" ref="F40">_xlfn.XLOOKUP(E40,'[1]12月プラン'!$E:$E,'[1]12月プラン'!$F:F)</f>
        <v>swprd</v>
      </c>
    </row>
    <row r="41" spans="1:6" x14ac:dyDescent="0.45">
      <c r="A41" s="3" t="s">
        <v>133</v>
      </c>
      <c r="B41" s="3" t="s">
        <v>94</v>
      </c>
      <c r="C41" s="3" t="s">
        <v>134</v>
      </c>
      <c r="D41" s="3" t="s">
        <v>134</v>
      </c>
      <c r="E41" s="3" t="s">
        <v>135</v>
      </c>
      <c r="F41" s="3" t="str" cm="1">
        <f t="array" ref="F41">_xlfn.XLOOKUP(E41,'[1]12月プラン'!$E:$E,'[1]12月プラン'!$F:F)</f>
        <v>swpp0</v>
      </c>
    </row>
    <row r="42" spans="1:6" x14ac:dyDescent="0.45">
      <c r="A42" s="3" t="s">
        <v>136</v>
      </c>
      <c r="B42" s="3" t="s">
        <v>94</v>
      </c>
      <c r="C42" s="3" t="s">
        <v>137</v>
      </c>
      <c r="D42" s="3" t="s">
        <v>137</v>
      </c>
      <c r="E42" s="3" t="s">
        <v>138</v>
      </c>
      <c r="F42" s="3" t="str" cm="1">
        <f t="array" ref="F42">_xlfn.XLOOKUP(E42,'[1]12月プラン'!$E:$E,'[1]12月プラン'!$F:F)</f>
        <v>swpdj</v>
      </c>
    </row>
    <row r="43" spans="1:6" x14ac:dyDescent="0.45">
      <c r="A43" s="3" t="s">
        <v>139</v>
      </c>
      <c r="B43" s="3" t="s">
        <v>94</v>
      </c>
      <c r="C43" s="3" t="s">
        <v>140</v>
      </c>
      <c r="D43" s="3" t="s">
        <v>140</v>
      </c>
      <c r="E43" s="3" t="s">
        <v>141</v>
      </c>
      <c r="F43" s="3" cm="1">
        <f t="array" ref="F43">_xlfn.XLOOKUP(E43,'[1]12月プラン'!$E:$E,'[1]12月プラン'!$F:F)</f>
        <v>0</v>
      </c>
    </row>
    <row r="44" spans="1:6" x14ac:dyDescent="0.45">
      <c r="A44" s="3" t="s">
        <v>142</v>
      </c>
      <c r="B44" s="3" t="s">
        <v>94</v>
      </c>
      <c r="C44" s="3" t="s">
        <v>143</v>
      </c>
      <c r="D44" s="3" t="s">
        <v>143</v>
      </c>
      <c r="E44" s="3" t="s">
        <v>144</v>
      </c>
      <c r="F44" s="3" t="str" cm="1">
        <f t="array" ref="F44">_xlfn.XLOOKUP(E44,'[1]12月プラン'!$E:$E,'[1]12月プラン'!$F:F)</f>
        <v>swpjt</v>
      </c>
    </row>
    <row r="45" spans="1:6" x14ac:dyDescent="0.45">
      <c r="A45" s="3" t="s">
        <v>145</v>
      </c>
      <c r="B45" s="3" t="s">
        <v>94</v>
      </c>
      <c r="C45" s="3" t="s">
        <v>146</v>
      </c>
      <c r="D45" s="3" t="s">
        <v>146</v>
      </c>
      <c r="E45" s="3" t="s">
        <v>147</v>
      </c>
      <c r="F45" s="3" t="str" cm="1">
        <f t="array" ref="F45">_xlfn.XLOOKUP(E45,'[1]12月プラン'!$E:$E,'[1]12月プラン'!$F:F)</f>
        <v>swps3</v>
      </c>
    </row>
    <row r="46" spans="1:6" x14ac:dyDescent="0.45">
      <c r="A46" s="3" t="s">
        <v>209</v>
      </c>
      <c r="B46" s="3" t="s">
        <v>352</v>
      </c>
      <c r="C46" s="3" t="s">
        <v>160</v>
      </c>
      <c r="D46" s="3" t="s">
        <v>254</v>
      </c>
      <c r="E46" s="3" t="s">
        <v>303</v>
      </c>
      <c r="F46" s="3" t="s">
        <v>354</v>
      </c>
    </row>
    <row r="47" spans="1:6" x14ac:dyDescent="0.45">
      <c r="A47" s="3" t="s">
        <v>210</v>
      </c>
      <c r="B47" s="3" t="s">
        <v>352</v>
      </c>
      <c r="C47" s="3" t="s">
        <v>161</v>
      </c>
      <c r="D47" s="3" t="s">
        <v>255</v>
      </c>
      <c r="E47" s="3" t="s">
        <v>304</v>
      </c>
      <c r="F47" s="3" t="s">
        <v>355</v>
      </c>
    </row>
    <row r="48" spans="1:6" x14ac:dyDescent="0.45">
      <c r="A48" s="3" t="s">
        <v>211</v>
      </c>
      <c r="B48" s="3" t="s">
        <v>352</v>
      </c>
      <c r="C48" s="3" t="s">
        <v>162</v>
      </c>
      <c r="D48" s="3" t="s">
        <v>256</v>
      </c>
      <c r="E48" s="3" t="s">
        <v>305</v>
      </c>
      <c r="F48" s="3" t="s">
        <v>356</v>
      </c>
    </row>
    <row r="49" spans="1:6" x14ac:dyDescent="0.45">
      <c r="A49" s="3" t="s">
        <v>212</v>
      </c>
      <c r="B49" s="3" t="s">
        <v>352</v>
      </c>
      <c r="C49" s="3" t="s">
        <v>163</v>
      </c>
      <c r="D49" s="3" t="s">
        <v>257</v>
      </c>
      <c r="E49" s="3" t="s">
        <v>306</v>
      </c>
      <c r="F49" s="3" t="s">
        <v>357</v>
      </c>
    </row>
    <row r="50" spans="1:6" x14ac:dyDescent="0.45">
      <c r="A50" s="3" t="s">
        <v>213</v>
      </c>
      <c r="B50" s="3" t="s">
        <v>352</v>
      </c>
      <c r="C50" s="3" t="s">
        <v>164</v>
      </c>
      <c r="D50" s="3" t="s">
        <v>258</v>
      </c>
      <c r="E50" s="3" t="s">
        <v>307</v>
      </c>
      <c r="F50" s="3" t="s">
        <v>358</v>
      </c>
    </row>
    <row r="51" spans="1:6" x14ac:dyDescent="0.45">
      <c r="A51" s="3" t="s">
        <v>214</v>
      </c>
      <c r="B51" s="3" t="s">
        <v>352</v>
      </c>
      <c r="C51" s="3" t="s">
        <v>165</v>
      </c>
      <c r="D51" s="3" t="s">
        <v>259</v>
      </c>
      <c r="E51" s="3" t="s">
        <v>308</v>
      </c>
      <c r="F51" s="3" t="s">
        <v>359</v>
      </c>
    </row>
    <row r="52" spans="1:6" x14ac:dyDescent="0.45">
      <c r="A52" s="3" t="s">
        <v>214</v>
      </c>
      <c r="B52" s="3" t="s">
        <v>352</v>
      </c>
      <c r="C52" s="3" t="s">
        <v>166</v>
      </c>
      <c r="D52" s="3" t="s">
        <v>260</v>
      </c>
      <c r="E52" s="3" t="s">
        <v>309</v>
      </c>
      <c r="F52" s="3" t="s">
        <v>360</v>
      </c>
    </row>
    <row r="53" spans="1:6" x14ac:dyDescent="0.45">
      <c r="A53" s="3" t="s">
        <v>214</v>
      </c>
      <c r="B53" s="3" t="s">
        <v>352</v>
      </c>
      <c r="C53" s="3" t="s">
        <v>167</v>
      </c>
      <c r="D53" s="3" t="s">
        <v>261</v>
      </c>
      <c r="E53" s="3" t="s">
        <v>310</v>
      </c>
      <c r="F53" s="3" t="s">
        <v>361</v>
      </c>
    </row>
    <row r="54" spans="1:6" x14ac:dyDescent="0.45">
      <c r="A54" s="3" t="s">
        <v>214</v>
      </c>
      <c r="B54" s="3" t="s">
        <v>352</v>
      </c>
      <c r="C54" s="3" t="s">
        <v>168</v>
      </c>
      <c r="D54" s="3" t="s">
        <v>262</v>
      </c>
      <c r="E54" s="3" t="s">
        <v>311</v>
      </c>
      <c r="F54" s="3" t="s">
        <v>362</v>
      </c>
    </row>
    <row r="55" spans="1:6" x14ac:dyDescent="0.45">
      <c r="A55" s="3" t="s">
        <v>214</v>
      </c>
      <c r="B55" s="3" t="s">
        <v>352</v>
      </c>
      <c r="C55" s="3" t="s">
        <v>169</v>
      </c>
      <c r="D55" s="3" t="s">
        <v>263</v>
      </c>
      <c r="E55" s="3" t="s">
        <v>312</v>
      </c>
      <c r="F55" s="3" t="s">
        <v>363</v>
      </c>
    </row>
    <row r="56" spans="1:6" x14ac:dyDescent="0.45">
      <c r="A56" s="3" t="s">
        <v>215</v>
      </c>
      <c r="B56" s="3" t="s">
        <v>352</v>
      </c>
      <c r="C56" s="3" t="s">
        <v>170</v>
      </c>
      <c r="D56" s="3" t="s">
        <v>264</v>
      </c>
      <c r="E56" s="3" t="s">
        <v>313</v>
      </c>
      <c r="F56" s="3" t="s">
        <v>364</v>
      </c>
    </row>
    <row r="57" spans="1:6" x14ac:dyDescent="0.45">
      <c r="A57" s="3" t="s">
        <v>216</v>
      </c>
      <c r="B57" s="3" t="s">
        <v>352</v>
      </c>
      <c r="C57" s="3" t="s">
        <v>171</v>
      </c>
      <c r="D57" s="3" t="s">
        <v>265</v>
      </c>
      <c r="E57" s="3" t="s">
        <v>314</v>
      </c>
      <c r="F57" s="3" t="s">
        <v>365</v>
      </c>
    </row>
    <row r="58" spans="1:6" x14ac:dyDescent="0.45">
      <c r="A58" s="3" t="s">
        <v>217</v>
      </c>
      <c r="B58" s="3" t="s">
        <v>352</v>
      </c>
      <c r="C58" s="3" t="s">
        <v>172</v>
      </c>
      <c r="D58" s="3" t="s">
        <v>266</v>
      </c>
      <c r="E58" s="3" t="s">
        <v>315</v>
      </c>
      <c r="F58" s="3" t="s">
        <v>366</v>
      </c>
    </row>
    <row r="59" spans="1:6" x14ac:dyDescent="0.45">
      <c r="A59" s="3" t="s">
        <v>218</v>
      </c>
      <c r="B59" s="3" t="s">
        <v>352</v>
      </c>
      <c r="C59" s="3" t="s">
        <v>173</v>
      </c>
      <c r="D59" s="3" t="s">
        <v>267</v>
      </c>
      <c r="E59" s="3" t="s">
        <v>316</v>
      </c>
      <c r="F59" s="3" t="s">
        <v>367</v>
      </c>
    </row>
    <row r="60" spans="1:6" x14ac:dyDescent="0.45">
      <c r="A60" s="3" t="s">
        <v>219</v>
      </c>
      <c r="B60" s="3" t="s">
        <v>352</v>
      </c>
      <c r="C60" s="3" t="s">
        <v>174</v>
      </c>
      <c r="D60" s="3" t="s">
        <v>268</v>
      </c>
      <c r="E60" s="3" t="s">
        <v>317</v>
      </c>
      <c r="F60" s="3" t="s">
        <v>368</v>
      </c>
    </row>
    <row r="61" spans="1:6" x14ac:dyDescent="0.45">
      <c r="A61" s="3" t="s">
        <v>220</v>
      </c>
      <c r="B61" s="3" t="s">
        <v>352</v>
      </c>
      <c r="C61" s="3" t="s">
        <v>175</v>
      </c>
      <c r="D61" s="3" t="s">
        <v>269</v>
      </c>
      <c r="E61" s="3" t="s">
        <v>318</v>
      </c>
      <c r="F61" s="3" t="s">
        <v>369</v>
      </c>
    </row>
    <row r="62" spans="1:6" x14ac:dyDescent="0.45">
      <c r="A62" s="3" t="s">
        <v>221</v>
      </c>
      <c r="B62" s="3" t="s">
        <v>352</v>
      </c>
      <c r="C62" s="3" t="s">
        <v>176</v>
      </c>
      <c r="D62" s="3" t="s">
        <v>270</v>
      </c>
      <c r="E62" s="3" t="s">
        <v>319</v>
      </c>
      <c r="F62" s="3" t="s">
        <v>370</v>
      </c>
    </row>
    <row r="63" spans="1:6" x14ac:dyDescent="0.45">
      <c r="A63" s="3" t="s">
        <v>222</v>
      </c>
      <c r="B63" s="3" t="s">
        <v>352</v>
      </c>
      <c r="C63" s="3" t="s">
        <v>177</v>
      </c>
      <c r="D63" s="3" t="s">
        <v>271</v>
      </c>
      <c r="E63" s="3" t="s">
        <v>320</v>
      </c>
      <c r="F63" s="3" t="s">
        <v>371</v>
      </c>
    </row>
    <row r="64" spans="1:6" x14ac:dyDescent="0.45">
      <c r="A64" s="3" t="s">
        <v>223</v>
      </c>
      <c r="B64" s="3" t="s">
        <v>352</v>
      </c>
      <c r="C64" s="3" t="s">
        <v>178</v>
      </c>
      <c r="D64" s="3" t="s">
        <v>272</v>
      </c>
      <c r="E64" s="3" t="s">
        <v>321</v>
      </c>
      <c r="F64" s="3" t="s">
        <v>372</v>
      </c>
    </row>
    <row r="65" spans="1:6" x14ac:dyDescent="0.45">
      <c r="A65" s="3" t="s">
        <v>224</v>
      </c>
      <c r="B65" s="3" t="s">
        <v>352</v>
      </c>
      <c r="C65" s="3" t="s">
        <v>179</v>
      </c>
      <c r="D65" s="3" t="s">
        <v>273</v>
      </c>
      <c r="E65" s="3" t="s">
        <v>322</v>
      </c>
      <c r="F65" s="3" t="s">
        <v>373</v>
      </c>
    </row>
    <row r="66" spans="1:6" x14ac:dyDescent="0.45">
      <c r="A66" s="3" t="s">
        <v>225</v>
      </c>
      <c r="B66" s="3" t="s">
        <v>352</v>
      </c>
      <c r="C66" s="3" t="s">
        <v>180</v>
      </c>
      <c r="D66" s="3" t="s">
        <v>274</v>
      </c>
      <c r="E66" s="3" t="s">
        <v>323</v>
      </c>
      <c r="F66" s="3" t="s">
        <v>374</v>
      </c>
    </row>
    <row r="67" spans="1:6" x14ac:dyDescent="0.45">
      <c r="A67" s="3" t="s">
        <v>226</v>
      </c>
      <c r="B67" s="3" t="s">
        <v>352</v>
      </c>
      <c r="C67" s="3" t="s">
        <v>181</v>
      </c>
      <c r="D67" s="3" t="s">
        <v>275</v>
      </c>
      <c r="E67" s="3" t="s">
        <v>324</v>
      </c>
      <c r="F67" s="3" t="s">
        <v>375</v>
      </c>
    </row>
    <row r="68" spans="1:6" x14ac:dyDescent="0.45">
      <c r="A68" s="3" t="s">
        <v>227</v>
      </c>
      <c r="B68" s="3" t="s">
        <v>352</v>
      </c>
      <c r="C68" s="3" t="s">
        <v>182</v>
      </c>
      <c r="D68" s="3" t="s">
        <v>276</v>
      </c>
      <c r="E68" s="3" t="s">
        <v>325</v>
      </c>
      <c r="F68" s="3" t="s">
        <v>376</v>
      </c>
    </row>
    <row r="69" spans="1:6" x14ac:dyDescent="0.45">
      <c r="A69" s="3" t="s">
        <v>228</v>
      </c>
      <c r="B69" s="3" t="s">
        <v>352</v>
      </c>
      <c r="C69" s="3" t="s">
        <v>183</v>
      </c>
      <c r="D69" s="3" t="s">
        <v>277</v>
      </c>
      <c r="E69" s="3" t="s">
        <v>326</v>
      </c>
      <c r="F69" s="3" t="s">
        <v>377</v>
      </c>
    </row>
    <row r="70" spans="1:6" x14ac:dyDescent="0.45">
      <c r="A70" s="3" t="s">
        <v>229</v>
      </c>
      <c r="B70" s="3" t="s">
        <v>352</v>
      </c>
      <c r="C70" s="3" t="s">
        <v>184</v>
      </c>
      <c r="D70" s="3" t="s">
        <v>278</v>
      </c>
      <c r="E70" s="3" t="s">
        <v>327</v>
      </c>
      <c r="F70" s="3" t="s">
        <v>378</v>
      </c>
    </row>
    <row r="71" spans="1:6" x14ac:dyDescent="0.45">
      <c r="A71" s="3" t="s">
        <v>230</v>
      </c>
      <c r="B71" s="3" t="s">
        <v>352</v>
      </c>
      <c r="C71" s="3" t="s">
        <v>185</v>
      </c>
      <c r="D71" s="3" t="s">
        <v>279</v>
      </c>
      <c r="E71" s="3" t="s">
        <v>328</v>
      </c>
      <c r="F71" s="3" t="s">
        <v>379</v>
      </c>
    </row>
    <row r="72" spans="1:6" x14ac:dyDescent="0.45">
      <c r="A72" s="3" t="s">
        <v>231</v>
      </c>
      <c r="B72" s="3" t="s">
        <v>352</v>
      </c>
      <c r="C72" s="3" t="s">
        <v>186</v>
      </c>
      <c r="D72" s="3" t="s">
        <v>280</v>
      </c>
      <c r="E72" s="3" t="s">
        <v>329</v>
      </c>
      <c r="F72" s="3" t="s">
        <v>380</v>
      </c>
    </row>
    <row r="73" spans="1:6" x14ac:dyDescent="0.45">
      <c r="A73" s="3" t="s">
        <v>232</v>
      </c>
      <c r="B73" s="3" t="s">
        <v>352</v>
      </c>
      <c r="C73" s="3" t="s">
        <v>187</v>
      </c>
      <c r="D73" s="3" t="s">
        <v>281</v>
      </c>
      <c r="E73" s="3" t="s">
        <v>330</v>
      </c>
      <c r="F73" s="3" t="s">
        <v>381</v>
      </c>
    </row>
    <row r="74" spans="1:6" x14ac:dyDescent="0.45">
      <c r="A74" s="3" t="s">
        <v>233</v>
      </c>
      <c r="B74" s="3" t="s">
        <v>352</v>
      </c>
      <c r="C74" s="3" t="s">
        <v>188</v>
      </c>
      <c r="D74" s="3" t="s">
        <v>282</v>
      </c>
      <c r="E74" s="3" t="s">
        <v>331</v>
      </c>
      <c r="F74" s="3" t="s">
        <v>382</v>
      </c>
    </row>
    <row r="75" spans="1:6" x14ac:dyDescent="0.45">
      <c r="A75" s="3" t="s">
        <v>234</v>
      </c>
      <c r="B75" s="3" t="s">
        <v>352</v>
      </c>
      <c r="C75" s="3" t="s">
        <v>189</v>
      </c>
      <c r="D75" s="3" t="s">
        <v>283</v>
      </c>
      <c r="E75" s="3" t="s">
        <v>332</v>
      </c>
      <c r="F75" s="3" t="s">
        <v>383</v>
      </c>
    </row>
    <row r="76" spans="1:6" x14ac:dyDescent="0.45">
      <c r="A76" s="3" t="s">
        <v>235</v>
      </c>
      <c r="B76" s="3" t="s">
        <v>352</v>
      </c>
      <c r="C76" s="3" t="s">
        <v>190</v>
      </c>
      <c r="D76" s="3" t="s">
        <v>284</v>
      </c>
      <c r="E76" s="3" t="s">
        <v>333</v>
      </c>
      <c r="F76" s="3" t="s">
        <v>384</v>
      </c>
    </row>
    <row r="77" spans="1:6" x14ac:dyDescent="0.45">
      <c r="A77" s="3" t="s">
        <v>236</v>
      </c>
      <c r="B77" s="3" t="s">
        <v>352</v>
      </c>
      <c r="C77" s="3" t="s">
        <v>191</v>
      </c>
      <c r="D77" s="3" t="s">
        <v>285</v>
      </c>
      <c r="E77" s="3" t="s">
        <v>334</v>
      </c>
      <c r="F77" s="3" t="s">
        <v>385</v>
      </c>
    </row>
    <row r="78" spans="1:6" x14ac:dyDescent="0.45">
      <c r="A78" s="3" t="s">
        <v>237</v>
      </c>
      <c r="B78" s="3" t="s">
        <v>352</v>
      </c>
      <c r="C78" s="3" t="s">
        <v>192</v>
      </c>
      <c r="D78" s="3" t="s">
        <v>286</v>
      </c>
      <c r="E78" s="3" t="s">
        <v>335</v>
      </c>
      <c r="F78" s="3" t="s">
        <v>386</v>
      </c>
    </row>
    <row r="79" spans="1:6" x14ac:dyDescent="0.45">
      <c r="A79" s="3" t="s">
        <v>238</v>
      </c>
      <c r="B79" s="3" t="s">
        <v>352</v>
      </c>
      <c r="C79" s="3" t="s">
        <v>193</v>
      </c>
      <c r="D79" s="3" t="s">
        <v>287</v>
      </c>
      <c r="E79" s="3" t="s">
        <v>336</v>
      </c>
      <c r="F79" s="3" t="s">
        <v>387</v>
      </c>
    </row>
    <row r="80" spans="1:6" x14ac:dyDescent="0.45">
      <c r="A80" s="3" t="s">
        <v>239</v>
      </c>
      <c r="B80" s="3" t="s">
        <v>352</v>
      </c>
      <c r="C80" s="3" t="s">
        <v>194</v>
      </c>
      <c r="D80" s="3" t="s">
        <v>288</v>
      </c>
      <c r="E80" s="3" t="s">
        <v>337</v>
      </c>
      <c r="F80" s="3" t="s">
        <v>388</v>
      </c>
    </row>
    <row r="81" spans="1:6" x14ac:dyDescent="0.45">
      <c r="A81" s="3" t="s">
        <v>240</v>
      </c>
      <c r="B81" s="3" t="s">
        <v>352</v>
      </c>
      <c r="C81" s="3" t="s">
        <v>195</v>
      </c>
      <c r="D81" s="3" t="s">
        <v>289</v>
      </c>
      <c r="E81" s="3" t="s">
        <v>338</v>
      </c>
      <c r="F81" s="3" t="s">
        <v>389</v>
      </c>
    </row>
    <row r="82" spans="1:6" x14ac:dyDescent="0.45">
      <c r="A82" s="3" t="s">
        <v>241</v>
      </c>
      <c r="B82" s="3" t="s">
        <v>352</v>
      </c>
      <c r="C82" s="3" t="s">
        <v>196</v>
      </c>
      <c r="D82" s="3" t="s">
        <v>290</v>
      </c>
      <c r="E82" s="3" t="s">
        <v>339</v>
      </c>
      <c r="F82" s="3" t="s">
        <v>390</v>
      </c>
    </row>
    <row r="83" spans="1:6" x14ac:dyDescent="0.45">
      <c r="A83" s="3" t="s">
        <v>242</v>
      </c>
      <c r="B83" s="3" t="s">
        <v>352</v>
      </c>
      <c r="C83" s="3" t="s">
        <v>197</v>
      </c>
      <c r="D83" s="3" t="s">
        <v>291</v>
      </c>
      <c r="E83" s="3" t="s">
        <v>340</v>
      </c>
      <c r="F83" s="3" t="s">
        <v>391</v>
      </c>
    </row>
    <row r="84" spans="1:6" x14ac:dyDescent="0.45">
      <c r="A84" s="3" t="s">
        <v>243</v>
      </c>
      <c r="B84" s="3" t="s">
        <v>352</v>
      </c>
      <c r="C84" s="3" t="s">
        <v>198</v>
      </c>
      <c r="D84" s="3" t="s">
        <v>292</v>
      </c>
      <c r="E84" s="3" t="s">
        <v>341</v>
      </c>
      <c r="F84" s="3" t="s">
        <v>392</v>
      </c>
    </row>
    <row r="85" spans="1:6" x14ac:dyDescent="0.45">
      <c r="A85" s="3" t="s">
        <v>244</v>
      </c>
      <c r="B85" s="3" t="s">
        <v>352</v>
      </c>
      <c r="C85" s="3" t="s">
        <v>199</v>
      </c>
      <c r="D85" s="3" t="s">
        <v>293</v>
      </c>
      <c r="E85" s="3" t="s">
        <v>342</v>
      </c>
      <c r="F85" s="3" t="s">
        <v>393</v>
      </c>
    </row>
    <row r="86" spans="1:6" x14ac:dyDescent="0.45">
      <c r="A86" s="3" t="s">
        <v>245</v>
      </c>
      <c r="B86" s="3" t="s">
        <v>352</v>
      </c>
      <c r="C86" s="3" t="s">
        <v>200</v>
      </c>
      <c r="D86" s="3" t="s">
        <v>294</v>
      </c>
      <c r="E86" s="3" t="s">
        <v>343</v>
      </c>
      <c r="F86" s="3" t="s">
        <v>394</v>
      </c>
    </row>
    <row r="87" spans="1:6" x14ac:dyDescent="0.45">
      <c r="A87" s="3" t="s">
        <v>246</v>
      </c>
      <c r="B87" s="3" t="s">
        <v>352</v>
      </c>
      <c r="C87" s="3" t="s">
        <v>201</v>
      </c>
      <c r="D87" s="3" t="s">
        <v>295</v>
      </c>
      <c r="E87" s="3" t="s">
        <v>344</v>
      </c>
      <c r="F87" s="3" t="s">
        <v>395</v>
      </c>
    </row>
    <row r="88" spans="1:6" x14ac:dyDescent="0.45">
      <c r="A88" s="3" t="s">
        <v>247</v>
      </c>
      <c r="B88" s="3" t="s">
        <v>352</v>
      </c>
      <c r="C88" s="3" t="s">
        <v>202</v>
      </c>
      <c r="D88" s="3" t="s">
        <v>296</v>
      </c>
      <c r="E88" s="3" t="s">
        <v>345</v>
      </c>
      <c r="F88" s="3" t="s">
        <v>396</v>
      </c>
    </row>
    <row r="89" spans="1:6" x14ac:dyDescent="0.45">
      <c r="A89" s="3" t="s">
        <v>248</v>
      </c>
      <c r="B89" s="3" t="s">
        <v>352</v>
      </c>
      <c r="C89" s="3" t="s">
        <v>203</v>
      </c>
      <c r="D89" s="3" t="s">
        <v>297</v>
      </c>
      <c r="E89" s="3" t="s">
        <v>346</v>
      </c>
      <c r="F89" s="3" t="s">
        <v>397</v>
      </c>
    </row>
    <row r="90" spans="1:6" x14ac:dyDescent="0.45">
      <c r="A90" s="3" t="s">
        <v>249</v>
      </c>
      <c r="B90" s="3" t="s">
        <v>352</v>
      </c>
      <c r="C90" s="3" t="s">
        <v>204</v>
      </c>
      <c r="D90" s="3" t="s">
        <v>298</v>
      </c>
      <c r="E90" s="3" t="s">
        <v>347</v>
      </c>
      <c r="F90" s="3" t="s">
        <v>398</v>
      </c>
    </row>
    <row r="91" spans="1:6" x14ac:dyDescent="0.45">
      <c r="A91" s="3" t="s">
        <v>250</v>
      </c>
      <c r="B91" s="3" t="s">
        <v>352</v>
      </c>
      <c r="C91" s="3" t="s">
        <v>205</v>
      </c>
      <c r="D91" s="3" t="s">
        <v>299</v>
      </c>
      <c r="E91" s="3" t="s">
        <v>348</v>
      </c>
      <c r="F91" s="3" t="s">
        <v>399</v>
      </c>
    </row>
    <row r="92" spans="1:6" x14ac:dyDescent="0.45">
      <c r="A92" s="3" t="s">
        <v>251</v>
      </c>
      <c r="B92" s="3" t="s">
        <v>352</v>
      </c>
      <c r="C92" s="3" t="s">
        <v>206</v>
      </c>
      <c r="D92" s="3" t="s">
        <v>300</v>
      </c>
      <c r="E92" s="3" t="s">
        <v>349</v>
      </c>
      <c r="F92" s="3" t="s">
        <v>400</v>
      </c>
    </row>
    <row r="93" spans="1:6" x14ac:dyDescent="0.45">
      <c r="A93" s="3" t="s">
        <v>252</v>
      </c>
      <c r="B93" s="3" t="s">
        <v>352</v>
      </c>
      <c r="C93" s="3" t="s">
        <v>207</v>
      </c>
      <c r="D93" s="3" t="s">
        <v>301</v>
      </c>
      <c r="E93" s="3" t="s">
        <v>350</v>
      </c>
      <c r="F93" s="3" t="s">
        <v>401</v>
      </c>
    </row>
    <row r="94" spans="1:6" x14ac:dyDescent="0.45">
      <c r="A94" s="3" t="s">
        <v>253</v>
      </c>
      <c r="B94" s="3" t="s">
        <v>352</v>
      </c>
      <c r="C94" s="3" t="s">
        <v>208</v>
      </c>
      <c r="D94" s="3" t="s">
        <v>302</v>
      </c>
      <c r="E94" s="3" t="s">
        <v>351</v>
      </c>
      <c r="F94" s="3" t="s">
        <v>402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Rakuten Group,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Kitahara, Marika | RM</dc:creator>
  <cp:lastModifiedBy>Kitahara, Marika | RM</cp:lastModifiedBy>
  <dcterms:created xsi:type="dcterms:W3CDTF">2025-11-10T02:02:19Z</dcterms:created>
  <dcterms:modified xsi:type="dcterms:W3CDTF">2025-12-17T06:10:57Z</dcterms:modified>
</cp:coreProperties>
</file>